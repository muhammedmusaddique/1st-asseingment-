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407C764-528E-48A7-90D9-FA9F628565D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64" i="3" l="1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63" i="3"/>
  <c r="C57" i="3"/>
  <c r="C5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D11" i="3"/>
  <c r="D10" i="3"/>
  <c r="D5" i="3"/>
  <c r="D4" i="3"/>
  <c r="D3" i="3"/>
</calcChain>
</file>

<file path=xl/sharedStrings.xml><?xml version="1.0" encoding="utf-8"?>
<sst xmlns="http://schemas.openxmlformats.org/spreadsheetml/2006/main" count="388" uniqueCount="121">
  <si>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</si>
  <si>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</si>
  <si>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</si>
  <si>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</si>
  <si>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</si>
  <si>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</si>
  <si>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</si>
  <si>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</si>
  <si>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</si>
  <si>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</si>
  <si>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</si>
  <si>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</si>
  <si>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</si>
  <si>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</si>
  <si>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</si>
  <si>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</si>
  <si>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</si>
  <si>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</si>
  <si>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</si>
  <si>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</si>
  <si>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</si>
  <si>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</si>
  <si>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</si>
  <si>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</si>
  <si>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</si>
  <si>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</si>
  <si>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</si>
  <si>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</si>
  <si>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</si>
  <si>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</si>
  <si>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</si>
  <si>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</si>
  <si>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</si>
  <si>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</si>
  <si>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</si>
  <si>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</si>
  <si>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</si>
  <si>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</si>
  <si>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</si>
  <si>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</si>
  <si>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</si>
  <si>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</si>
  <si>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</si>
  <si>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</si>
  <si>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</si>
  <si>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</si>
  <si>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</si>
  <si>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</si>
  <si>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</si>
  <si>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</si>
  <si>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</si>
  <si>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</si>
  <si>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</si>
  <si>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</si>
  <si>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</si>
  <si>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</si>
  <si>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</si>
  <si>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</si>
  <si>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</si>
  <si>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</si>
  <si>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</si>
  <si>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</si>
  <si>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</si>
  <si>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</si>
  <si>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</si>
  <si>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</si>
  <si>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</si>
  <si>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</si>
  <si>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</si>
  <si>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</si>
  <si>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</si>
  <si>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</si>
  <si>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</si>
  <si>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</si>
  <si>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</si>
  <si>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</si>
  <si>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</si>
  <si>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</si>
  <si>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</si>
  <si>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</si>
  <si>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</si>
  <si>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</si>
  <si>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</si>
  <si>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</si>
  <si>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</si>
  <si>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</si>
  <si>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</si>
  <si>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</si>
  <si>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</si>
  <si>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</si>
  <si>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</si>
  <si>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</si>
  <si>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</si>
  <si>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</si>
  <si>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</si>
  <si>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</si>
  <si>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</si>
  <si>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</si>
  <si>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</si>
  <si>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</si>
  <si>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</si>
  <si>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</si>
  <si>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</si>
  <si>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</si>
  <si>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</si>
  <si>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</si>
  <si>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</si>
  <si>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</si>
  <si>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</si>
  <si>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</si>
  <si>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* total price of all product </t>
  </si>
  <si>
    <t>*number of products</t>
  </si>
  <si>
    <t>* average price of products</t>
  </si>
  <si>
    <t xml:space="preserve">*min price among all product </t>
  </si>
  <si>
    <t xml:space="preserve">*max price among all products </t>
  </si>
  <si>
    <t>price range to catogarize product</t>
  </si>
  <si>
    <t>*Total price for products in electronics category</t>
  </si>
  <si>
    <t>* count of products with a price less then 500</t>
  </si>
  <si>
    <t>Day with first 2 character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</si>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</sst>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1" workbookViewId="0">
      <selection activeCell="K25" sqref="K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1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2085-D74E-4EC5-903C-4A5298D4E367}">
  <dimension ref="A1:J96"/>
  <sheetViews>
    <sheetView tabSelected="1" workbookViewId="0">
      <selection activeCell="M75" sqref="M75"/>
    </sheetView>
  </sheetViews>
  <sheetFormatPr defaultRowHeight="13.2" x14ac:dyDescent="0.25"/>
  <cols>
    <col min="1" max="1" width="26.44140625" bestFit="1" customWidth="1"/>
    <col min="2" max="2" width="15" customWidth="1"/>
    <col min="3" max="3" width="11.77734375" bestFit="1" customWidth="1"/>
    <col min="5" max="5" width="8.44140625" bestFit="1" customWidth="1"/>
    <col min="6" max="6" width="11" bestFit="1" customWidth="1"/>
    <col min="7" max="7" width="14.109375" customWidth="1"/>
    <col min="8" max="8" width="16.88671875" customWidth="1"/>
    <col min="9" max="9" width="12.5546875" bestFit="1" customWidth="1"/>
  </cols>
  <sheetData>
    <row r="1" spans="1:7" ht="15.6" x14ac:dyDescent="0.3">
      <c r="A1" s="11" t="s">
        <v>1</v>
      </c>
      <c r="B1" s="11"/>
      <c r="C1" s="11"/>
    </row>
    <row r="3" spans="1:7" x14ac:dyDescent="0.25">
      <c r="A3" s="10" t="s">
        <v>110</v>
      </c>
      <c r="B3" s="10"/>
      <c r="C3" s="10"/>
      <c r="D3">
        <f>SUM(Dataset!D2:D35)</f>
        <v>10100</v>
      </c>
    </row>
    <row r="4" spans="1:7" x14ac:dyDescent="0.25">
      <c r="A4" s="10" t="s">
        <v>111</v>
      </c>
      <c r="B4" s="10"/>
      <c r="C4" s="10"/>
      <c r="D4">
        <f>COUNTA(Dataset!B2:B35)</f>
        <v>34</v>
      </c>
    </row>
    <row r="5" spans="1:7" x14ac:dyDescent="0.25">
      <c r="A5" s="10" t="s">
        <v>112</v>
      </c>
      <c r="B5" s="10"/>
      <c r="C5" s="10"/>
      <c r="D5">
        <f>AVERAGE(Dataset!D2:D35)</f>
        <v>297.05882352941177</v>
      </c>
    </row>
    <row r="8" spans="1:7" ht="15.6" x14ac:dyDescent="0.3">
      <c r="A8" s="11" t="s">
        <v>5</v>
      </c>
      <c r="B8" s="11"/>
    </row>
    <row r="10" spans="1:7" x14ac:dyDescent="0.25">
      <c r="A10" s="10" t="s">
        <v>113</v>
      </c>
      <c r="B10" s="10"/>
      <c r="C10" s="10"/>
      <c r="D10">
        <f>MIN(Dataset!D2:D35)</f>
        <v>30</v>
      </c>
    </row>
    <row r="11" spans="1:7" x14ac:dyDescent="0.25">
      <c r="A11" t="s">
        <v>114</v>
      </c>
      <c r="D11">
        <f>MAX(Dataset!D2:D35)</f>
        <v>1000</v>
      </c>
    </row>
    <row r="14" spans="1:7" ht="15.6" x14ac:dyDescent="0.3">
      <c r="A14" s="11" t="s">
        <v>8</v>
      </c>
      <c r="B14" s="11"/>
    </row>
    <row r="16" spans="1:7" x14ac:dyDescent="0.25">
      <c r="B16" s="5" t="s">
        <v>18</v>
      </c>
      <c r="C16" s="5" t="s">
        <v>19</v>
      </c>
      <c r="D16" s="5" t="s">
        <v>20</v>
      </c>
      <c r="E16" s="12" t="s">
        <v>115</v>
      </c>
      <c r="F16" s="12"/>
      <c r="G16" s="12"/>
    </row>
    <row r="17" spans="2:7" x14ac:dyDescent="0.25">
      <c r="B17" t="s">
        <v>24</v>
      </c>
      <c r="C17" t="s">
        <v>25</v>
      </c>
      <c r="D17">
        <v>1000</v>
      </c>
      <c r="E17" s="10" t="str">
        <f>IF(D17&gt;500,"High Price","standard price")</f>
        <v>High Price</v>
      </c>
      <c r="F17" s="10"/>
      <c r="G17" s="10"/>
    </row>
    <row r="18" spans="2:7" x14ac:dyDescent="0.25">
      <c r="B18" t="s">
        <v>28</v>
      </c>
      <c r="C18" t="s">
        <v>29</v>
      </c>
      <c r="D18">
        <v>80</v>
      </c>
      <c r="E18" s="10" t="str">
        <f t="shared" ref="E18:E50" si="0">IF(D18&gt;500,"High Price","standard price")</f>
        <v>standard price</v>
      </c>
      <c r="F18" s="10"/>
      <c r="G18" s="10"/>
    </row>
    <row r="19" spans="2:7" x14ac:dyDescent="0.25">
      <c r="B19" t="s">
        <v>32</v>
      </c>
      <c r="C19" t="s">
        <v>33</v>
      </c>
      <c r="D19">
        <v>130</v>
      </c>
      <c r="E19" s="10" t="str">
        <f t="shared" si="0"/>
        <v>standard price</v>
      </c>
      <c r="F19" s="10"/>
      <c r="G19" s="10"/>
    </row>
    <row r="20" spans="2:7" x14ac:dyDescent="0.25">
      <c r="B20" t="s">
        <v>36</v>
      </c>
      <c r="C20" t="s">
        <v>37</v>
      </c>
      <c r="D20">
        <v>900</v>
      </c>
      <c r="E20" s="10" t="str">
        <f t="shared" si="0"/>
        <v>High Price</v>
      </c>
      <c r="F20" s="10"/>
      <c r="G20" s="10"/>
    </row>
    <row r="21" spans="2:7" x14ac:dyDescent="0.25">
      <c r="B21" t="s">
        <v>39</v>
      </c>
      <c r="C21" t="s">
        <v>40</v>
      </c>
      <c r="D21">
        <v>70</v>
      </c>
      <c r="E21" s="10" t="str">
        <f t="shared" si="0"/>
        <v>standard price</v>
      </c>
      <c r="F21" s="10"/>
      <c r="G21" s="10"/>
    </row>
    <row r="22" spans="2:7" x14ac:dyDescent="0.25">
      <c r="B22" t="s">
        <v>43</v>
      </c>
      <c r="C22" t="s">
        <v>44</v>
      </c>
      <c r="D22">
        <v>200</v>
      </c>
      <c r="E22" s="10" t="str">
        <f t="shared" si="0"/>
        <v>standard price</v>
      </c>
      <c r="F22" s="10"/>
      <c r="G22" s="10"/>
    </row>
    <row r="23" spans="2:7" x14ac:dyDescent="0.25">
      <c r="B23" t="s">
        <v>46</v>
      </c>
      <c r="C23" t="s">
        <v>47</v>
      </c>
      <c r="D23">
        <v>30</v>
      </c>
      <c r="E23" s="10" t="str">
        <f t="shared" si="0"/>
        <v>standard price</v>
      </c>
      <c r="F23" s="10"/>
      <c r="G23" s="10"/>
    </row>
    <row r="24" spans="2:7" x14ac:dyDescent="0.25">
      <c r="B24" t="s">
        <v>49</v>
      </c>
      <c r="C24" t="s">
        <v>50</v>
      </c>
      <c r="D24">
        <v>90</v>
      </c>
      <c r="E24" s="10" t="str">
        <f t="shared" si="0"/>
        <v>standard price</v>
      </c>
      <c r="F24" s="10"/>
      <c r="G24" s="10"/>
    </row>
    <row r="25" spans="2:7" x14ac:dyDescent="0.25">
      <c r="B25" t="s">
        <v>52</v>
      </c>
      <c r="C25" t="s">
        <v>53</v>
      </c>
      <c r="D25">
        <v>500</v>
      </c>
      <c r="E25" s="10" t="str">
        <f t="shared" si="0"/>
        <v>standard price</v>
      </c>
      <c r="F25" s="10"/>
      <c r="G25" s="10"/>
    </row>
    <row r="26" spans="2:7" x14ac:dyDescent="0.25">
      <c r="B26" t="s">
        <v>55</v>
      </c>
      <c r="C26" t="s">
        <v>56</v>
      </c>
      <c r="D26">
        <v>130</v>
      </c>
      <c r="E26" s="10" t="str">
        <f t="shared" si="0"/>
        <v>standard price</v>
      </c>
      <c r="F26" s="10"/>
      <c r="G26" s="10"/>
    </row>
    <row r="27" spans="2:7" x14ac:dyDescent="0.25">
      <c r="B27" t="s">
        <v>24</v>
      </c>
      <c r="C27" t="s">
        <v>58</v>
      </c>
      <c r="D27">
        <v>950</v>
      </c>
      <c r="E27" s="10" t="str">
        <f t="shared" si="0"/>
        <v>High Price</v>
      </c>
      <c r="F27" s="10"/>
      <c r="G27" s="10"/>
    </row>
    <row r="28" spans="2:7" x14ac:dyDescent="0.25">
      <c r="B28" t="s">
        <v>28</v>
      </c>
      <c r="C28" t="s">
        <v>47</v>
      </c>
      <c r="D28">
        <v>90</v>
      </c>
      <c r="E28" s="10" t="str">
        <f t="shared" si="0"/>
        <v>standard price</v>
      </c>
      <c r="F28" s="10"/>
      <c r="G28" s="10"/>
    </row>
    <row r="29" spans="2:7" x14ac:dyDescent="0.25">
      <c r="B29" t="s">
        <v>32</v>
      </c>
      <c r="C29" t="s">
        <v>61</v>
      </c>
      <c r="D29">
        <v>120</v>
      </c>
      <c r="E29" s="10" t="str">
        <f t="shared" si="0"/>
        <v>standard price</v>
      </c>
      <c r="F29" s="10"/>
      <c r="G29" s="10"/>
    </row>
    <row r="30" spans="2:7" x14ac:dyDescent="0.25">
      <c r="B30" t="s">
        <v>63</v>
      </c>
      <c r="C30" t="s">
        <v>64</v>
      </c>
      <c r="D30">
        <v>150</v>
      </c>
      <c r="E30" s="10" t="str">
        <f t="shared" si="0"/>
        <v>standard price</v>
      </c>
      <c r="F30" s="10"/>
      <c r="G30" s="10"/>
    </row>
    <row r="31" spans="2:7" x14ac:dyDescent="0.25">
      <c r="B31" t="s">
        <v>43</v>
      </c>
      <c r="C31" t="s">
        <v>66</v>
      </c>
      <c r="D31">
        <v>250</v>
      </c>
      <c r="E31" s="10" t="str">
        <f t="shared" si="0"/>
        <v>standard price</v>
      </c>
      <c r="F31" s="10"/>
      <c r="G31" s="10"/>
    </row>
    <row r="32" spans="2:7" x14ac:dyDescent="0.25">
      <c r="B32" t="s">
        <v>68</v>
      </c>
      <c r="C32" t="s">
        <v>69</v>
      </c>
      <c r="D32">
        <v>50</v>
      </c>
      <c r="E32" s="10" t="str">
        <f t="shared" si="0"/>
        <v>standard price</v>
      </c>
      <c r="F32" s="10"/>
      <c r="G32" s="10"/>
    </row>
    <row r="33" spans="2:7" x14ac:dyDescent="0.25">
      <c r="B33" t="s">
        <v>63</v>
      </c>
      <c r="C33" t="s">
        <v>72</v>
      </c>
      <c r="D33">
        <v>160</v>
      </c>
      <c r="E33" s="10" t="str">
        <f t="shared" si="0"/>
        <v>standard price</v>
      </c>
      <c r="F33" s="10"/>
      <c r="G33" s="10"/>
    </row>
    <row r="34" spans="2:7" x14ac:dyDescent="0.25">
      <c r="B34" t="s">
        <v>24</v>
      </c>
      <c r="C34" t="s">
        <v>74</v>
      </c>
      <c r="D34">
        <v>980</v>
      </c>
      <c r="E34" s="10" t="str">
        <f t="shared" si="0"/>
        <v>High Price</v>
      </c>
      <c r="F34" s="10"/>
      <c r="G34" s="10"/>
    </row>
    <row r="35" spans="2:7" x14ac:dyDescent="0.25">
      <c r="B35" t="s">
        <v>76</v>
      </c>
      <c r="C35" t="s">
        <v>77</v>
      </c>
      <c r="D35">
        <v>150</v>
      </c>
      <c r="E35" s="10" t="str">
        <f t="shared" si="0"/>
        <v>standard price</v>
      </c>
      <c r="F35" s="10"/>
      <c r="G35" s="10"/>
    </row>
    <row r="36" spans="2:7" x14ac:dyDescent="0.25">
      <c r="B36" t="s">
        <v>79</v>
      </c>
      <c r="C36" t="s">
        <v>80</v>
      </c>
      <c r="D36">
        <v>200</v>
      </c>
      <c r="E36" s="10" t="str">
        <f t="shared" si="0"/>
        <v>standard price</v>
      </c>
      <c r="F36" s="10"/>
      <c r="G36" s="10"/>
    </row>
    <row r="37" spans="2:7" x14ac:dyDescent="0.25">
      <c r="B37" t="s">
        <v>82</v>
      </c>
      <c r="C37" t="s">
        <v>83</v>
      </c>
      <c r="D37">
        <v>700</v>
      </c>
      <c r="E37" s="10" t="str">
        <f t="shared" si="0"/>
        <v>High Price</v>
      </c>
      <c r="F37" s="10"/>
      <c r="G37" s="10"/>
    </row>
    <row r="38" spans="2:7" x14ac:dyDescent="0.25">
      <c r="B38" t="s">
        <v>85</v>
      </c>
      <c r="C38" t="s">
        <v>86</v>
      </c>
      <c r="D38">
        <v>80</v>
      </c>
      <c r="E38" s="10" t="str">
        <f t="shared" si="0"/>
        <v>standard price</v>
      </c>
      <c r="F38" s="10"/>
      <c r="G38" s="10"/>
    </row>
    <row r="39" spans="2:7" x14ac:dyDescent="0.25">
      <c r="B39" t="s">
        <v>88</v>
      </c>
      <c r="C39" t="s">
        <v>89</v>
      </c>
      <c r="D39">
        <v>150</v>
      </c>
      <c r="E39" s="10" t="str">
        <f t="shared" si="0"/>
        <v>standard price</v>
      </c>
      <c r="F39" s="10"/>
      <c r="G39" s="10"/>
    </row>
    <row r="40" spans="2:7" x14ac:dyDescent="0.25">
      <c r="B40" t="s">
        <v>68</v>
      </c>
      <c r="C40" t="s">
        <v>69</v>
      </c>
      <c r="D40">
        <v>50</v>
      </c>
      <c r="E40" s="10" t="str">
        <f t="shared" si="0"/>
        <v>standard price</v>
      </c>
      <c r="F40" s="10"/>
      <c r="G40" s="10"/>
    </row>
    <row r="41" spans="2:7" x14ac:dyDescent="0.25">
      <c r="B41" t="s">
        <v>36</v>
      </c>
      <c r="C41" t="s">
        <v>91</v>
      </c>
      <c r="D41">
        <v>800</v>
      </c>
      <c r="E41" s="10" t="str">
        <f t="shared" si="0"/>
        <v>High Price</v>
      </c>
      <c r="F41" s="10"/>
      <c r="G41" s="10"/>
    </row>
    <row r="42" spans="2:7" x14ac:dyDescent="0.25">
      <c r="B42" t="s">
        <v>76</v>
      </c>
      <c r="C42" t="s">
        <v>93</v>
      </c>
      <c r="D42">
        <v>130</v>
      </c>
      <c r="E42" s="10" t="str">
        <f t="shared" si="0"/>
        <v>standard price</v>
      </c>
      <c r="F42" s="10"/>
      <c r="G42" s="10"/>
    </row>
    <row r="43" spans="2:7" x14ac:dyDescent="0.25">
      <c r="B43" t="s">
        <v>49</v>
      </c>
      <c r="C43" t="s">
        <v>95</v>
      </c>
      <c r="D43">
        <v>400</v>
      </c>
      <c r="E43" s="10" t="str">
        <f t="shared" si="0"/>
        <v>standard price</v>
      </c>
      <c r="F43" s="10"/>
      <c r="G43" s="10"/>
    </row>
    <row r="44" spans="2:7" x14ac:dyDescent="0.25">
      <c r="B44" t="s">
        <v>43</v>
      </c>
      <c r="C44" t="s">
        <v>66</v>
      </c>
      <c r="D44">
        <v>230</v>
      </c>
      <c r="E44" s="10" t="str">
        <f t="shared" si="0"/>
        <v>standard price</v>
      </c>
      <c r="F44" s="10"/>
      <c r="G44" s="10"/>
    </row>
    <row r="45" spans="2:7" x14ac:dyDescent="0.25">
      <c r="B45" t="s">
        <v>97</v>
      </c>
      <c r="C45" t="s">
        <v>98</v>
      </c>
      <c r="D45">
        <v>60</v>
      </c>
      <c r="E45" s="10" t="str">
        <f t="shared" si="0"/>
        <v>standard price</v>
      </c>
      <c r="F45" s="10"/>
      <c r="G45" s="10"/>
    </row>
    <row r="46" spans="2:7" x14ac:dyDescent="0.25">
      <c r="B46" t="s">
        <v>100</v>
      </c>
      <c r="C46" t="s">
        <v>101</v>
      </c>
      <c r="D46">
        <v>40</v>
      </c>
      <c r="E46" s="10" t="str">
        <f t="shared" si="0"/>
        <v>standard price</v>
      </c>
      <c r="F46" s="10"/>
      <c r="G46" s="10"/>
    </row>
    <row r="47" spans="2:7" x14ac:dyDescent="0.25">
      <c r="B47" t="s">
        <v>88</v>
      </c>
      <c r="C47" t="s">
        <v>103</v>
      </c>
      <c r="D47">
        <v>130</v>
      </c>
      <c r="E47" s="10" t="str">
        <f t="shared" si="0"/>
        <v>standard price</v>
      </c>
      <c r="F47" s="10"/>
      <c r="G47" s="10"/>
    </row>
    <row r="48" spans="2:7" x14ac:dyDescent="0.25">
      <c r="B48" t="s">
        <v>105</v>
      </c>
      <c r="C48" t="s">
        <v>106</v>
      </c>
      <c r="D48">
        <v>50</v>
      </c>
      <c r="E48" s="10" t="str">
        <f t="shared" si="0"/>
        <v>standard price</v>
      </c>
      <c r="F48" s="10"/>
      <c r="G48" s="10"/>
    </row>
    <row r="49" spans="1:10" x14ac:dyDescent="0.25">
      <c r="B49" t="s">
        <v>24</v>
      </c>
      <c r="C49" t="s">
        <v>58</v>
      </c>
      <c r="D49">
        <v>950</v>
      </c>
      <c r="E49" s="10" t="str">
        <f t="shared" si="0"/>
        <v>High Price</v>
      </c>
      <c r="F49" s="10"/>
      <c r="G49" s="10"/>
    </row>
    <row r="50" spans="1:10" x14ac:dyDescent="0.25">
      <c r="B50" t="s">
        <v>108</v>
      </c>
      <c r="C50" t="s">
        <v>109</v>
      </c>
      <c r="D50">
        <v>100</v>
      </c>
      <c r="E50" s="10" t="str">
        <f t="shared" si="0"/>
        <v>standard price</v>
      </c>
      <c r="F50" s="10"/>
      <c r="G50" s="10"/>
    </row>
    <row r="54" spans="1:10" ht="15.6" x14ac:dyDescent="0.3">
      <c r="A54" s="13" t="s">
        <v>10</v>
      </c>
    </row>
    <row r="56" spans="1:10" x14ac:dyDescent="0.25">
      <c r="A56" s="10" t="s">
        <v>116</v>
      </c>
      <c r="B56" s="10"/>
      <c r="C56">
        <f>SUMIF(Dataset!F2:F35,Dataset!F2,Dataset!D2:D35)</f>
        <v>8050</v>
      </c>
    </row>
    <row r="57" spans="1:10" x14ac:dyDescent="0.25">
      <c r="A57" t="s">
        <v>117</v>
      </c>
      <c r="C57">
        <f>COUNTIF(D17:D50,"&lt;500")</f>
        <v>26</v>
      </c>
    </row>
    <row r="60" spans="1:10" ht="15.6" x14ac:dyDescent="0.3">
      <c r="A60" s="11" t="s">
        <v>13</v>
      </c>
      <c r="B60" s="11"/>
    </row>
    <row r="62" spans="1:10" x14ac:dyDescent="0.25">
      <c r="A62" s="5" t="s">
        <v>17</v>
      </c>
      <c r="B62" s="5" t="s">
        <v>18</v>
      </c>
      <c r="C62" s="5" t="s">
        <v>19</v>
      </c>
      <c r="D62" s="5" t="s">
        <v>20</v>
      </c>
      <c r="E62" s="5" t="s">
        <v>21</v>
      </c>
      <c r="F62" s="5" t="s">
        <v>22</v>
      </c>
      <c r="G62" s="12" t="s">
        <v>118</v>
      </c>
      <c r="H62" s="12"/>
      <c r="I62" s="5" t="s">
        <v>119</v>
      </c>
      <c r="J62" s="5" t="s">
        <v>120</v>
      </c>
    </row>
    <row r="63" spans="1:10" x14ac:dyDescent="0.25">
      <c r="A63" t="s">
        <v>23</v>
      </c>
      <c r="B63" t="s">
        <v>24</v>
      </c>
      <c r="C63" t="s">
        <v>25</v>
      </c>
      <c r="D63">
        <v>1000</v>
      </c>
      <c r="E63">
        <v>30</v>
      </c>
      <c r="F63" t="s">
        <v>26</v>
      </c>
      <c r="G63" s="10" t="str">
        <f>LEFT(A63,2)</f>
        <v>28</v>
      </c>
      <c r="H63" s="10"/>
      <c r="I63" t="str">
        <f>RIGHT(A63,2)</f>
        <v>US</v>
      </c>
      <c r="J63" t="str">
        <f>MID(A63,4,3)</f>
        <v>JAN</v>
      </c>
    </row>
    <row r="64" spans="1:10" x14ac:dyDescent="0.25">
      <c r="A64" t="s">
        <v>27</v>
      </c>
      <c r="B64" t="s">
        <v>28</v>
      </c>
      <c r="C64" t="s">
        <v>29</v>
      </c>
      <c r="D64">
        <v>80</v>
      </c>
      <c r="E64">
        <v>15</v>
      </c>
      <c r="F64" t="s">
        <v>30</v>
      </c>
      <c r="G64" s="10" t="str">
        <f t="shared" ref="G64:G96" si="1">LEFT(A64,2)</f>
        <v>15</v>
      </c>
      <c r="H64" s="10"/>
      <c r="I64" t="str">
        <f t="shared" ref="I64:I96" si="2">RIGHT(A64,2)</f>
        <v>US</v>
      </c>
      <c r="J64" t="str">
        <f t="shared" ref="J64:J96" si="3">MID(A64,4,3)</f>
        <v>FEB</v>
      </c>
    </row>
    <row r="65" spans="1:10" x14ac:dyDescent="0.25">
      <c r="A65" t="s">
        <v>31</v>
      </c>
      <c r="B65" t="s">
        <v>32</v>
      </c>
      <c r="C65" t="s">
        <v>33</v>
      </c>
      <c r="D65">
        <v>130</v>
      </c>
      <c r="E65">
        <v>40</v>
      </c>
      <c r="F65" t="s">
        <v>34</v>
      </c>
      <c r="G65" s="10" t="str">
        <f t="shared" si="1"/>
        <v>03</v>
      </c>
      <c r="H65" s="10"/>
      <c r="I65" t="str">
        <f t="shared" si="2"/>
        <v>US</v>
      </c>
      <c r="J65" t="str">
        <f t="shared" si="3"/>
        <v>MAR</v>
      </c>
    </row>
    <row r="66" spans="1:10" x14ac:dyDescent="0.25">
      <c r="A66" t="s">
        <v>35</v>
      </c>
      <c r="B66" t="s">
        <v>36</v>
      </c>
      <c r="C66" t="s">
        <v>37</v>
      </c>
      <c r="D66">
        <v>900</v>
      </c>
      <c r="E66">
        <v>25</v>
      </c>
      <c r="F66" t="s">
        <v>26</v>
      </c>
      <c r="G66" s="10" t="str">
        <f t="shared" si="1"/>
        <v>11</v>
      </c>
      <c r="H66" s="10"/>
      <c r="I66" t="str">
        <f t="shared" si="2"/>
        <v>US</v>
      </c>
      <c r="J66" t="str">
        <f t="shared" si="3"/>
        <v>APR</v>
      </c>
    </row>
    <row r="67" spans="1:10" x14ac:dyDescent="0.25">
      <c r="A67" t="s">
        <v>38</v>
      </c>
      <c r="B67" t="s">
        <v>39</v>
      </c>
      <c r="C67" t="s">
        <v>40</v>
      </c>
      <c r="D67">
        <v>70</v>
      </c>
      <c r="E67">
        <v>20</v>
      </c>
      <c r="F67" t="s">
        <v>41</v>
      </c>
      <c r="G67" s="10" t="str">
        <f t="shared" si="1"/>
        <v>22</v>
      </c>
      <c r="H67" s="10"/>
      <c r="I67" t="str">
        <f t="shared" si="2"/>
        <v>US</v>
      </c>
      <c r="J67" t="str">
        <f t="shared" si="3"/>
        <v>MAY</v>
      </c>
    </row>
    <row r="68" spans="1:10" x14ac:dyDescent="0.25">
      <c r="A68" t="s">
        <v>42</v>
      </c>
      <c r="B68" t="s">
        <v>43</v>
      </c>
      <c r="C68" t="s">
        <v>44</v>
      </c>
      <c r="D68">
        <v>200</v>
      </c>
      <c r="E68">
        <v>45</v>
      </c>
      <c r="F68" t="s">
        <v>26</v>
      </c>
      <c r="G68" s="10" t="str">
        <f t="shared" si="1"/>
        <v>07</v>
      </c>
      <c r="H68" s="10"/>
      <c r="I68" t="str">
        <f t="shared" si="2"/>
        <v>UK</v>
      </c>
      <c r="J68" t="str">
        <f t="shared" si="3"/>
        <v>JUN</v>
      </c>
    </row>
    <row r="69" spans="1:10" x14ac:dyDescent="0.25">
      <c r="A69" t="s">
        <v>45</v>
      </c>
      <c r="B69" t="s">
        <v>46</v>
      </c>
      <c r="C69" t="s">
        <v>47</v>
      </c>
      <c r="D69">
        <v>30</v>
      </c>
      <c r="E69">
        <v>5</v>
      </c>
      <c r="F69" t="s">
        <v>30</v>
      </c>
      <c r="G69" s="10" t="str">
        <f t="shared" si="1"/>
        <v>19</v>
      </c>
      <c r="H69" s="10"/>
      <c r="I69" t="str">
        <f t="shared" si="2"/>
        <v>UK</v>
      </c>
      <c r="J69" t="str">
        <f t="shared" si="3"/>
        <v>JUL</v>
      </c>
    </row>
    <row r="70" spans="1:10" x14ac:dyDescent="0.25">
      <c r="A70" t="s">
        <v>48</v>
      </c>
      <c r="B70" t="s">
        <v>49</v>
      </c>
      <c r="C70" t="s">
        <v>50</v>
      </c>
      <c r="D70">
        <v>90</v>
      </c>
      <c r="E70">
        <v>35</v>
      </c>
      <c r="F70" t="s">
        <v>34</v>
      </c>
      <c r="G70" s="10" t="str">
        <f t="shared" si="1"/>
        <v>23</v>
      </c>
      <c r="H70" s="10"/>
      <c r="I70" t="str">
        <f t="shared" si="2"/>
        <v>UK</v>
      </c>
      <c r="J70" t="str">
        <f t="shared" si="3"/>
        <v>AUG</v>
      </c>
    </row>
    <row r="71" spans="1:10" x14ac:dyDescent="0.25">
      <c r="A71" t="s">
        <v>51</v>
      </c>
      <c r="B71" t="s">
        <v>52</v>
      </c>
      <c r="C71" t="s">
        <v>53</v>
      </c>
      <c r="D71">
        <v>500</v>
      </c>
      <c r="E71">
        <v>50</v>
      </c>
      <c r="F71" t="s">
        <v>26</v>
      </c>
      <c r="G71" s="10" t="str">
        <f t="shared" si="1"/>
        <v>05</v>
      </c>
      <c r="H71" s="10"/>
      <c r="I71" t="str">
        <f t="shared" si="2"/>
        <v>UK</v>
      </c>
      <c r="J71" t="str">
        <f t="shared" si="3"/>
        <v>SEP</v>
      </c>
    </row>
    <row r="72" spans="1:10" x14ac:dyDescent="0.25">
      <c r="A72" t="s">
        <v>54</v>
      </c>
      <c r="B72" t="s">
        <v>55</v>
      </c>
      <c r="C72" t="s">
        <v>56</v>
      </c>
      <c r="D72">
        <v>130</v>
      </c>
      <c r="E72">
        <v>10</v>
      </c>
      <c r="F72" t="s">
        <v>41</v>
      </c>
      <c r="G72" s="10" t="str">
        <f t="shared" si="1"/>
        <v>14</v>
      </c>
      <c r="H72" s="10"/>
      <c r="I72" t="str">
        <f t="shared" si="2"/>
        <v>UK</v>
      </c>
      <c r="J72" t="str">
        <f t="shared" si="3"/>
        <v>OCT</v>
      </c>
    </row>
    <row r="73" spans="1:10" x14ac:dyDescent="0.25">
      <c r="A73" t="s">
        <v>57</v>
      </c>
      <c r="B73" t="s">
        <v>24</v>
      </c>
      <c r="C73" t="s">
        <v>58</v>
      </c>
      <c r="D73">
        <v>950</v>
      </c>
      <c r="E73">
        <v>25</v>
      </c>
      <c r="F73" t="s">
        <v>26</v>
      </c>
      <c r="G73" s="10" t="str">
        <f t="shared" si="1"/>
        <v>17</v>
      </c>
      <c r="H73" s="10"/>
      <c r="I73" t="str">
        <f t="shared" si="2"/>
        <v>IN</v>
      </c>
      <c r="J73" t="str">
        <f t="shared" si="3"/>
        <v>JUN</v>
      </c>
    </row>
    <row r="74" spans="1:10" x14ac:dyDescent="0.25">
      <c r="A74" t="s">
        <v>59</v>
      </c>
      <c r="B74" t="s">
        <v>28</v>
      </c>
      <c r="C74" t="s">
        <v>47</v>
      </c>
      <c r="D74">
        <v>90</v>
      </c>
      <c r="E74">
        <v>40</v>
      </c>
      <c r="F74" t="s">
        <v>30</v>
      </c>
      <c r="G74" s="10" t="str">
        <f t="shared" si="1"/>
        <v>25</v>
      </c>
      <c r="H74" s="10"/>
      <c r="I74" t="str">
        <f t="shared" si="2"/>
        <v>AU</v>
      </c>
      <c r="J74" t="str">
        <f t="shared" si="3"/>
        <v>NOV</v>
      </c>
    </row>
    <row r="75" spans="1:10" x14ac:dyDescent="0.25">
      <c r="A75" t="s">
        <v>60</v>
      </c>
      <c r="B75" t="s">
        <v>32</v>
      </c>
      <c r="C75" t="s">
        <v>61</v>
      </c>
      <c r="D75">
        <v>120</v>
      </c>
      <c r="E75">
        <v>35</v>
      </c>
      <c r="F75" t="s">
        <v>34</v>
      </c>
      <c r="G75" s="10" t="str">
        <f t="shared" si="1"/>
        <v>08</v>
      </c>
      <c r="H75" s="10"/>
      <c r="I75" t="str">
        <f t="shared" si="2"/>
        <v>DE</v>
      </c>
      <c r="J75" t="str">
        <f t="shared" si="3"/>
        <v>DEC</v>
      </c>
    </row>
    <row r="76" spans="1:10" x14ac:dyDescent="0.25">
      <c r="A76" t="s">
        <v>62</v>
      </c>
      <c r="B76" t="s">
        <v>63</v>
      </c>
      <c r="C76" t="s">
        <v>64</v>
      </c>
      <c r="D76">
        <v>150</v>
      </c>
      <c r="E76">
        <v>15</v>
      </c>
      <c r="F76" t="s">
        <v>26</v>
      </c>
      <c r="G76" s="10" t="str">
        <f t="shared" si="1"/>
        <v>18</v>
      </c>
      <c r="H76" s="10"/>
      <c r="I76" t="str">
        <f t="shared" si="2"/>
        <v>CA</v>
      </c>
      <c r="J76" t="str">
        <f t="shared" si="3"/>
        <v>FEB</v>
      </c>
    </row>
    <row r="77" spans="1:10" x14ac:dyDescent="0.25">
      <c r="A77" t="s">
        <v>65</v>
      </c>
      <c r="B77" t="s">
        <v>43</v>
      </c>
      <c r="C77" t="s">
        <v>66</v>
      </c>
      <c r="D77">
        <v>250</v>
      </c>
      <c r="E77">
        <v>20</v>
      </c>
      <c r="F77" t="s">
        <v>26</v>
      </c>
      <c r="G77" s="10" t="str">
        <f t="shared" si="1"/>
        <v>16</v>
      </c>
      <c r="H77" s="10"/>
      <c r="I77" t="str">
        <f t="shared" si="2"/>
        <v>ES</v>
      </c>
      <c r="J77" t="str">
        <f t="shared" si="3"/>
        <v>APR</v>
      </c>
    </row>
    <row r="78" spans="1:10" x14ac:dyDescent="0.25">
      <c r="A78" t="s">
        <v>67</v>
      </c>
      <c r="B78" t="s">
        <v>68</v>
      </c>
      <c r="C78" t="s">
        <v>69</v>
      </c>
      <c r="D78">
        <v>50</v>
      </c>
      <c r="E78">
        <v>35</v>
      </c>
      <c r="F78" t="s">
        <v>70</v>
      </c>
      <c r="G78" s="10" t="str">
        <f t="shared" si="1"/>
        <v>21</v>
      </c>
      <c r="H78" s="10"/>
      <c r="I78" t="str">
        <f t="shared" si="2"/>
        <v>CA</v>
      </c>
      <c r="J78" t="str">
        <f t="shared" si="3"/>
        <v>AUG</v>
      </c>
    </row>
    <row r="79" spans="1:10" x14ac:dyDescent="0.25">
      <c r="A79" t="s">
        <v>71</v>
      </c>
      <c r="B79" t="s">
        <v>63</v>
      </c>
      <c r="C79" t="s">
        <v>72</v>
      </c>
      <c r="D79">
        <v>160</v>
      </c>
      <c r="E79">
        <v>15</v>
      </c>
      <c r="F79" t="s">
        <v>26</v>
      </c>
      <c r="G79" s="10" t="str">
        <f t="shared" si="1"/>
        <v>20</v>
      </c>
      <c r="H79" s="10"/>
      <c r="I79" t="str">
        <f t="shared" si="2"/>
        <v>CN</v>
      </c>
      <c r="J79" t="str">
        <f t="shared" si="3"/>
        <v>AUG</v>
      </c>
    </row>
    <row r="80" spans="1:10" x14ac:dyDescent="0.25">
      <c r="A80" t="s">
        <v>73</v>
      </c>
      <c r="B80" t="s">
        <v>24</v>
      </c>
      <c r="C80" t="s">
        <v>74</v>
      </c>
      <c r="D80">
        <v>980</v>
      </c>
      <c r="E80">
        <v>10</v>
      </c>
      <c r="F80" t="s">
        <v>26</v>
      </c>
      <c r="G80" s="10" t="str">
        <f t="shared" si="1"/>
        <v>27</v>
      </c>
      <c r="H80" s="10"/>
      <c r="I80" t="str">
        <f t="shared" si="2"/>
        <v>IT</v>
      </c>
      <c r="J80" t="str">
        <f t="shared" si="3"/>
        <v>JAN</v>
      </c>
    </row>
    <row r="81" spans="1:10" x14ac:dyDescent="0.25">
      <c r="A81" t="s">
        <v>75</v>
      </c>
      <c r="B81" t="s">
        <v>76</v>
      </c>
      <c r="C81" t="s">
        <v>77</v>
      </c>
      <c r="D81">
        <v>150</v>
      </c>
      <c r="E81">
        <v>15</v>
      </c>
      <c r="F81" t="s">
        <v>30</v>
      </c>
      <c r="G81" s="10" t="str">
        <f t="shared" si="1"/>
        <v>01</v>
      </c>
      <c r="H81" s="10"/>
      <c r="I81" t="str">
        <f t="shared" si="2"/>
        <v>UK</v>
      </c>
      <c r="J81" t="str">
        <f t="shared" si="3"/>
        <v>MAR</v>
      </c>
    </row>
    <row r="82" spans="1:10" x14ac:dyDescent="0.25">
      <c r="A82" t="s">
        <v>78</v>
      </c>
      <c r="B82" t="s">
        <v>79</v>
      </c>
      <c r="C82" t="s">
        <v>80</v>
      </c>
      <c r="D82">
        <v>200</v>
      </c>
      <c r="E82">
        <v>10</v>
      </c>
      <c r="F82" t="s">
        <v>41</v>
      </c>
      <c r="G82" s="10" t="str">
        <f t="shared" si="1"/>
        <v>14</v>
      </c>
      <c r="H82" s="10"/>
      <c r="I82" t="str">
        <f t="shared" si="2"/>
        <v>US</v>
      </c>
      <c r="J82" t="str">
        <f t="shared" si="3"/>
        <v>AUG</v>
      </c>
    </row>
    <row r="83" spans="1:10" x14ac:dyDescent="0.25">
      <c r="A83" t="s">
        <v>81</v>
      </c>
      <c r="B83" t="s">
        <v>82</v>
      </c>
      <c r="C83" t="s">
        <v>83</v>
      </c>
      <c r="D83">
        <v>700</v>
      </c>
      <c r="E83">
        <v>50</v>
      </c>
      <c r="F83" t="s">
        <v>26</v>
      </c>
      <c r="G83" s="10" t="str">
        <f t="shared" si="1"/>
        <v>14</v>
      </c>
      <c r="H83" s="10"/>
      <c r="I83" t="str">
        <f t="shared" si="2"/>
        <v>RU</v>
      </c>
      <c r="J83" t="str">
        <f t="shared" si="3"/>
        <v>MAY</v>
      </c>
    </row>
    <row r="84" spans="1:10" x14ac:dyDescent="0.25">
      <c r="A84" t="s">
        <v>84</v>
      </c>
      <c r="B84" t="s">
        <v>85</v>
      </c>
      <c r="C84" t="s">
        <v>86</v>
      </c>
      <c r="D84">
        <v>80</v>
      </c>
      <c r="E84">
        <v>20</v>
      </c>
      <c r="F84" t="s">
        <v>34</v>
      </c>
      <c r="G84" s="10" t="str">
        <f t="shared" si="1"/>
        <v>09</v>
      </c>
      <c r="H84" s="10"/>
      <c r="I84" t="str">
        <f t="shared" si="2"/>
        <v>CA</v>
      </c>
      <c r="J84" t="str">
        <f t="shared" si="3"/>
        <v>JAN</v>
      </c>
    </row>
    <row r="85" spans="1:10" x14ac:dyDescent="0.25">
      <c r="A85" t="s">
        <v>87</v>
      </c>
      <c r="B85" t="s">
        <v>88</v>
      </c>
      <c r="C85" t="s">
        <v>89</v>
      </c>
      <c r="D85">
        <v>150</v>
      </c>
      <c r="E85">
        <v>30</v>
      </c>
      <c r="F85" t="s">
        <v>26</v>
      </c>
      <c r="G85" s="10" t="str">
        <f t="shared" si="1"/>
        <v>19</v>
      </c>
      <c r="H85" s="10"/>
      <c r="I85" t="str">
        <f t="shared" si="2"/>
        <v>BR</v>
      </c>
      <c r="J85" t="str">
        <f t="shared" si="3"/>
        <v>JUL</v>
      </c>
    </row>
    <row r="86" spans="1:10" x14ac:dyDescent="0.25">
      <c r="A86" t="s">
        <v>67</v>
      </c>
      <c r="B86" t="s">
        <v>68</v>
      </c>
      <c r="C86" t="s">
        <v>69</v>
      </c>
      <c r="D86">
        <v>50</v>
      </c>
      <c r="E86">
        <v>35</v>
      </c>
      <c r="F86" t="s">
        <v>70</v>
      </c>
      <c r="G86" s="10" t="str">
        <f t="shared" si="1"/>
        <v>21</v>
      </c>
      <c r="H86" s="10"/>
      <c r="I86" t="str">
        <f t="shared" si="2"/>
        <v>CA</v>
      </c>
      <c r="J86" t="str">
        <f t="shared" si="3"/>
        <v>AUG</v>
      </c>
    </row>
    <row r="87" spans="1:10" x14ac:dyDescent="0.25">
      <c r="A87" t="s">
        <v>90</v>
      </c>
      <c r="B87" t="s">
        <v>36</v>
      </c>
      <c r="C87" t="s">
        <v>91</v>
      </c>
      <c r="D87">
        <v>800</v>
      </c>
      <c r="E87">
        <v>45</v>
      </c>
      <c r="F87" t="s">
        <v>26</v>
      </c>
      <c r="G87" s="10" t="str">
        <f t="shared" si="1"/>
        <v>29</v>
      </c>
      <c r="H87" s="10"/>
      <c r="I87" t="str">
        <f t="shared" si="2"/>
        <v>CA</v>
      </c>
      <c r="J87" t="str">
        <f t="shared" si="3"/>
        <v>SEP</v>
      </c>
    </row>
    <row r="88" spans="1:10" x14ac:dyDescent="0.25">
      <c r="A88" t="s">
        <v>92</v>
      </c>
      <c r="B88" t="s">
        <v>76</v>
      </c>
      <c r="C88" t="s">
        <v>93</v>
      </c>
      <c r="D88">
        <v>130</v>
      </c>
      <c r="E88">
        <v>25</v>
      </c>
      <c r="F88" t="s">
        <v>30</v>
      </c>
      <c r="G88" s="10" t="str">
        <f t="shared" si="1"/>
        <v>03</v>
      </c>
      <c r="H88" s="10"/>
      <c r="I88" t="str">
        <f t="shared" si="2"/>
        <v>CA</v>
      </c>
      <c r="J88" t="str">
        <f t="shared" si="3"/>
        <v>JUN</v>
      </c>
    </row>
    <row r="89" spans="1:10" x14ac:dyDescent="0.25">
      <c r="A89" t="s">
        <v>94</v>
      </c>
      <c r="B89" t="s">
        <v>49</v>
      </c>
      <c r="C89" t="s">
        <v>95</v>
      </c>
      <c r="D89">
        <v>400</v>
      </c>
      <c r="E89">
        <v>40</v>
      </c>
      <c r="F89" t="s">
        <v>34</v>
      </c>
      <c r="G89" s="10" t="str">
        <f t="shared" si="1"/>
        <v>11</v>
      </c>
      <c r="H89" s="10"/>
      <c r="I89" t="str">
        <f t="shared" si="2"/>
        <v>CA</v>
      </c>
      <c r="J89" t="str">
        <f t="shared" si="3"/>
        <v>JUL</v>
      </c>
    </row>
    <row r="90" spans="1:10" x14ac:dyDescent="0.25">
      <c r="A90" t="s">
        <v>65</v>
      </c>
      <c r="B90" t="s">
        <v>43</v>
      </c>
      <c r="C90" t="s">
        <v>66</v>
      </c>
      <c r="D90">
        <v>230</v>
      </c>
      <c r="E90">
        <v>20</v>
      </c>
      <c r="F90" t="s">
        <v>26</v>
      </c>
      <c r="G90" s="10" t="str">
        <f t="shared" si="1"/>
        <v>16</v>
      </c>
      <c r="H90" s="10"/>
      <c r="I90" t="str">
        <f t="shared" si="2"/>
        <v>ES</v>
      </c>
      <c r="J90" t="str">
        <f t="shared" si="3"/>
        <v>APR</v>
      </c>
    </row>
    <row r="91" spans="1:10" x14ac:dyDescent="0.25">
      <c r="A91" t="s">
        <v>96</v>
      </c>
      <c r="B91" t="s">
        <v>97</v>
      </c>
      <c r="C91" t="s">
        <v>98</v>
      </c>
      <c r="D91">
        <v>60</v>
      </c>
      <c r="E91">
        <v>30</v>
      </c>
      <c r="F91" t="s">
        <v>30</v>
      </c>
      <c r="G91" s="10" t="str">
        <f t="shared" si="1"/>
        <v>07</v>
      </c>
      <c r="H91" s="10"/>
      <c r="I91" t="str">
        <f t="shared" si="2"/>
        <v>CA</v>
      </c>
      <c r="J91" t="str">
        <f t="shared" si="3"/>
        <v>MAR</v>
      </c>
    </row>
    <row r="92" spans="1:10" x14ac:dyDescent="0.25">
      <c r="A92" t="s">
        <v>99</v>
      </c>
      <c r="B92" t="s">
        <v>100</v>
      </c>
      <c r="C92" t="s">
        <v>101</v>
      </c>
      <c r="D92">
        <v>40</v>
      </c>
      <c r="E92">
        <v>10</v>
      </c>
      <c r="F92" t="s">
        <v>34</v>
      </c>
      <c r="G92" s="10" t="str">
        <f t="shared" si="1"/>
        <v>13</v>
      </c>
      <c r="H92" s="10"/>
      <c r="I92" t="str">
        <f t="shared" si="2"/>
        <v>CA</v>
      </c>
      <c r="J92" t="str">
        <f t="shared" si="3"/>
        <v>APR</v>
      </c>
    </row>
    <row r="93" spans="1:10" x14ac:dyDescent="0.25">
      <c r="A93" t="s">
        <v>102</v>
      </c>
      <c r="B93" t="s">
        <v>88</v>
      </c>
      <c r="C93" t="s">
        <v>103</v>
      </c>
      <c r="D93">
        <v>130</v>
      </c>
      <c r="E93">
        <v>5</v>
      </c>
      <c r="F93" t="s">
        <v>26</v>
      </c>
      <c r="G93" s="10" t="str">
        <f t="shared" si="1"/>
        <v>24</v>
      </c>
      <c r="H93" s="10"/>
      <c r="I93" t="str">
        <f t="shared" si="2"/>
        <v>CA</v>
      </c>
      <c r="J93" t="str">
        <f t="shared" si="3"/>
        <v>MAY</v>
      </c>
    </row>
    <row r="94" spans="1:10" x14ac:dyDescent="0.25">
      <c r="A94" t="s">
        <v>104</v>
      </c>
      <c r="B94" t="s">
        <v>105</v>
      </c>
      <c r="C94" t="s">
        <v>106</v>
      </c>
      <c r="D94">
        <v>50</v>
      </c>
      <c r="E94">
        <v>50</v>
      </c>
      <c r="F94" t="s">
        <v>30</v>
      </c>
      <c r="G94" s="10" t="str">
        <f t="shared" si="1"/>
        <v>02</v>
      </c>
      <c r="H94" s="10"/>
      <c r="I94" t="str">
        <f t="shared" si="2"/>
        <v>CA</v>
      </c>
      <c r="J94" t="str">
        <f t="shared" si="3"/>
        <v>DEC</v>
      </c>
    </row>
    <row r="95" spans="1:10" x14ac:dyDescent="0.25">
      <c r="A95" t="s">
        <v>57</v>
      </c>
      <c r="B95" t="s">
        <v>24</v>
      </c>
      <c r="C95" t="s">
        <v>58</v>
      </c>
      <c r="D95">
        <v>950</v>
      </c>
      <c r="E95">
        <v>25</v>
      </c>
      <c r="F95" t="s">
        <v>26</v>
      </c>
      <c r="G95" s="10" t="str">
        <f t="shared" si="1"/>
        <v>17</v>
      </c>
      <c r="H95" s="10"/>
      <c r="I95" t="str">
        <f t="shared" si="2"/>
        <v>IN</v>
      </c>
      <c r="J95" t="str">
        <f t="shared" si="3"/>
        <v>JUN</v>
      </c>
    </row>
    <row r="96" spans="1:10" x14ac:dyDescent="0.25">
      <c r="A96" t="s">
        <v>107</v>
      </c>
      <c r="B96" t="s">
        <v>108</v>
      </c>
      <c r="C96" t="s">
        <v>109</v>
      </c>
      <c r="D96">
        <v>100</v>
      </c>
      <c r="E96">
        <v>20</v>
      </c>
      <c r="F96" t="s">
        <v>70</v>
      </c>
      <c r="G96" s="10" t="str">
        <f t="shared" si="1"/>
        <v>09</v>
      </c>
      <c r="H96" s="10"/>
      <c r="I96" t="str">
        <f t="shared" si="2"/>
        <v>FR</v>
      </c>
      <c r="J96" t="str">
        <f t="shared" si="3"/>
        <v>JUL</v>
      </c>
    </row>
  </sheetData>
  <mergeCells count="79">
    <mergeCell ref="G92:H92"/>
    <mergeCell ref="G93:H93"/>
    <mergeCell ref="G94:H94"/>
    <mergeCell ref="G95:H95"/>
    <mergeCell ref="G96:H96"/>
    <mergeCell ref="G86:H86"/>
    <mergeCell ref="G87:H87"/>
    <mergeCell ref="G88:H88"/>
    <mergeCell ref="G89:H89"/>
    <mergeCell ref="G90:H90"/>
    <mergeCell ref="G91:H91"/>
    <mergeCell ref="G80:H80"/>
    <mergeCell ref="G81:H81"/>
    <mergeCell ref="G82:H82"/>
    <mergeCell ref="G83:H83"/>
    <mergeCell ref="G84:H84"/>
    <mergeCell ref="G85:H85"/>
    <mergeCell ref="G74:H74"/>
    <mergeCell ref="G75:H75"/>
    <mergeCell ref="G76:H76"/>
    <mergeCell ref="G77:H77"/>
    <mergeCell ref="G78:H78"/>
    <mergeCell ref="G79:H79"/>
    <mergeCell ref="G68:H68"/>
    <mergeCell ref="G69:H69"/>
    <mergeCell ref="G70:H70"/>
    <mergeCell ref="G71:H71"/>
    <mergeCell ref="G72:H72"/>
    <mergeCell ref="G73:H73"/>
    <mergeCell ref="G62:H62"/>
    <mergeCell ref="G63:H63"/>
    <mergeCell ref="G64:H64"/>
    <mergeCell ref="G65:H65"/>
    <mergeCell ref="G66:H66"/>
    <mergeCell ref="G67:H67"/>
    <mergeCell ref="E47:G47"/>
    <mergeCell ref="E48:G48"/>
    <mergeCell ref="E49:G49"/>
    <mergeCell ref="E50:G50"/>
    <mergeCell ref="A56:B56"/>
    <mergeCell ref="A60:B60"/>
    <mergeCell ref="E41:G41"/>
    <mergeCell ref="E42:G42"/>
    <mergeCell ref="E43:G43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29:G29"/>
    <mergeCell ref="E30:G30"/>
    <mergeCell ref="E31:G31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A10:C10"/>
    <mergeCell ref="A14:B14"/>
    <mergeCell ref="E16:G16"/>
    <mergeCell ref="E17:G17"/>
    <mergeCell ref="E18:G18"/>
    <mergeCell ref="E19:G19"/>
    <mergeCell ref="E20:G20"/>
    <mergeCell ref="E21:G21"/>
    <mergeCell ref="E22:G22"/>
    <mergeCell ref="A1:C1"/>
    <mergeCell ref="A3:C3"/>
    <mergeCell ref="A4:C4"/>
    <mergeCell ref="A5:C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muhammed musaddique</cp:lastModifiedBy>
  <dcterms:created xsi:type="dcterms:W3CDTF">2026-09-28T12:26:19Z</dcterms:created>
  <dcterms:modified xsi:type="dcterms:W3CDTF">2026-09-28T12:26:19Z</dcterms:modified>
</cp:coreProperties>
</file>